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excel basic\"/>
    </mc:Choice>
  </mc:AlternateContent>
  <xr:revisionPtr revIDLastSave="0" documentId="8_{AFACB39A-3F14-4ABF-B2CB-2C4414D97AD2}" xr6:coauthVersionLast="47" xr6:coauthVersionMax="47" xr10:uidLastSave="{00000000-0000-0000-0000-000000000000}"/>
  <bookViews>
    <workbookView xWindow="-108" yWindow="-108" windowWidth="23256" windowHeight="12456" activeTab="1" xr2:uid="{A0AF8679-CB02-4AB9-A3AF-855F0B77AA63}"/>
  </bookViews>
  <sheets>
    <sheet name="Pivot_Data" sheetId="15" r:id="rId1"/>
    <sheet name="Pivat_Data_1" sheetId="16" r:id="rId2"/>
    <sheet name="Raw_Data" sheetId="1" r:id="rId3"/>
    <sheet name="Analysis" sheetId="2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2" l="1"/>
  <c r="B9" i="2"/>
  <c r="B10" i="2"/>
  <c r="B7" i="2"/>
  <c r="B4" i="2"/>
  <c r="B3" i="2"/>
  <c r="B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</calcChain>
</file>

<file path=xl/sharedStrings.xml><?xml version="1.0" encoding="utf-8"?>
<sst xmlns="http://schemas.openxmlformats.org/spreadsheetml/2006/main" count="77" uniqueCount="38">
  <si>
    <t>Date</t>
  </si>
  <si>
    <t>Region</t>
  </si>
  <si>
    <t>Product Category</t>
  </si>
  <si>
    <t>Product Name</t>
  </si>
  <si>
    <t>Units Sold</t>
  </si>
  <si>
    <t>Sales Amount</t>
  </si>
  <si>
    <t>Cost</t>
  </si>
  <si>
    <t>West</t>
  </si>
  <si>
    <t>Electronics</t>
  </si>
  <si>
    <t>Laptop</t>
  </si>
  <si>
    <t>East</t>
  </si>
  <si>
    <t>Tablet</t>
  </si>
  <si>
    <t>North</t>
  </si>
  <si>
    <t>Furniture</t>
  </si>
  <si>
    <t>Office Chair</t>
  </si>
  <si>
    <t>South</t>
  </si>
  <si>
    <t>Desk</t>
  </si>
  <si>
    <t>Stationery</t>
  </si>
  <si>
    <t>Printer Paper</t>
  </si>
  <si>
    <t>Pens</t>
  </si>
  <si>
    <t>Monitor</t>
  </si>
  <si>
    <t>Sofa</t>
  </si>
  <si>
    <t>Notebooks</t>
  </si>
  <si>
    <t>Keyboard</t>
  </si>
  <si>
    <t>Cabinet</t>
  </si>
  <si>
    <t>Mouse</t>
  </si>
  <si>
    <t>Table</t>
  </si>
  <si>
    <t>profit</t>
  </si>
  <si>
    <t xml:space="preserve">Total Sales </t>
  </si>
  <si>
    <t>Total Profit</t>
  </si>
  <si>
    <t>Average Sales</t>
  </si>
  <si>
    <t>Sales</t>
  </si>
  <si>
    <t>Grand Total</t>
  </si>
  <si>
    <t>Row Labels</t>
  </si>
  <si>
    <t>Sum of Sales Amount</t>
  </si>
  <si>
    <t>Sum of profit</t>
  </si>
  <si>
    <t>Sales by Region</t>
  </si>
  <si>
    <t>Profit by Product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</si>
</sst>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4" fontId="1" fillId="2" borderId="1" xfId="0" applyNumberFormat="1" applyFont="1" applyFill="1" applyBorder="1"/>
    <xf numFmtId="0" fontId="1" fillId="2" borderId="1" xfId="0" applyFont="1" applyFill="1" applyBorder="1"/>
    <xf numFmtId="14" fontId="0" fillId="0" borderId="1" xfId="0" applyNumberFormat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2" fillId="4" borderId="0" xfId="0" applyFont="1" applyFill="1"/>
  </cellXfs>
  <cellStyles count="1">
    <cellStyle name="Normal" xfId="0" builtinId="0"/>
  </cellStyles>
  <dxfs count="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[sales-financial-analysis-dashboard.xlsx]Pivot_Data!PivotTable8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102537182852145"/>
          <c:y val="0.26328484981044037"/>
          <c:w val="0.7231227034120735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Pivot_Data!$B$3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Pivot_Data!$A$4:$A$8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Pivot_Data!$B$4:$B$8</c:f>
              <c:numCache>
                <c:formatCode>General</c:formatCode>
                <c:ptCount val="4"/>
                <c:pt idx="0">
                  <c:v>1285000</c:v>
                </c:pt>
                <c:pt idx="1">
                  <c:v>905000</c:v>
                </c:pt>
                <c:pt idx="2">
                  <c:v>620000</c:v>
                </c:pt>
                <c:pt idx="3">
                  <c:v>980000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E6-43FD-A5A8-49F64F6F9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604847"/>
        <c:axId val="195601487"/>
      </c:barChart>
      <c:catAx>
        <c:axId val="19560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01487"/>
        <c:crosses val="autoZero"/>
        <c:auto val="1"/>
        <c:lblAlgn val="ctr"/>
        <c:lblOffset val="100"/>
        <c:noMultiLvlLbl val="0"/>
      </c:catAx>
      <c:valAx>
        <c:axId val="19560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0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[sales-financial-analysis-dashboard.xlsx]Pivat_Data_1!PivotTable9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Pivat_Data_1!$B$3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Pivat_Data_1!$A$4:$A$7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Pivat_Data_1!$B$4:$B$7</c:f>
              <c:numCache>
                <c:formatCode>General</c:formatCode>
                <c:ptCount val="3"/>
                <c:pt idx="0">
                  <c:v>595000</c:v>
                </c:pt>
                <c:pt idx="1">
                  <c:v>230000</c:v>
                </c:pt>
                <c:pt idx="2">
                  <c:v>76000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B5-4B7F-B859-16ACDB1CC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612047"/>
        <c:axId val="195612527"/>
      </c:lineChart>
      <c:catAx>
        <c:axId val="19561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12527"/>
        <c:crosses val="autoZero"/>
        <c:auto val="1"/>
        <c:lblAlgn val="ctr"/>
        <c:lblOffset val="100"/>
        <c:noMultiLvlLbl val="0"/>
      </c:catAx>
      <c:valAx>
        <c:axId val="19561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12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438845144356967"/>
          <c:y val="0.51496500437445314"/>
          <c:w val="0.13894488188976378"/>
          <c:h val="8.1597769028871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301868</xdr:colOff>
      <xdr:row>1</xdr:row>
      <xdr:rowOff>52754</xdr:rowOff>
    </xdr:from>
    <xdr:to>
      <xdr:col>10</xdr:col>
      <xdr:colOff>606668</xdr:colOff>
      <xdr:row>16</xdr:row>
      <xdr:rowOff>70339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46E193-0E40-C1CC-5160-6AEFE2897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444061</xdr:colOff>
      <xdr:row>1</xdr:row>
      <xdr:rowOff>10511</xdr:rowOff>
    </xdr:from>
    <xdr:to>
      <xdr:col>11</xdr:col>
      <xdr:colOff>139261</xdr:colOff>
      <xdr:row>15</xdr:row>
      <xdr:rowOff>178676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4FE3C2-D158-508C-47CF-41784DF4C2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INIVAS" refreshedDate="46040.809573495368" createdVersion="8" refreshedVersion="8" minRefreshableVersion="3" recordCount="15" xr:uid="{14CEC1D2-C399-4E3E-B62D-AADD4D4EF44E}">
  <cacheSource type="worksheet">
    <worksheetSource ref="A1:H16" sheet="Raw_Data"/>
  </cacheSource>
  <cacheFields count="8">
    <cacheField name="Date" numFmtId="14">
      <sharedItems containsSemiMixedTypes="0" containsNonDate="0" containsDate="1" containsString="0" minDate="2025-01-01T00:00:00" maxDate="2025-01-16T00:00:00"/>
    </cacheField>
    <cacheField name="Region" numFmtId="0">
      <sharedItems count="4">
        <s v="West"/>
        <s v="East"/>
        <s v="North"/>
        <s v="South"/>
      </sharedItems>
    </cacheField>
    <cacheField name="Product Category" numFmtId="0">
      <sharedItems count="3">
        <s v="Electronics"/>
        <s v="Furniture"/>
        <s v="Stationery"/>
      </sharedItems>
    </cacheField>
    <cacheField name="Product Name" numFmtId="0">
      <sharedItems/>
    </cacheField>
    <cacheField name="Units Sold" numFmtId="0">
      <sharedItems containsSemiMixedTypes="0" containsString="0" containsNumber="1" containsInteger="1" minValue="5" maxValue="100"/>
    </cacheField>
    <cacheField name="Sales Amount" numFmtId="0">
      <sharedItems containsSemiMixedTypes="0" containsString="0" containsNumber="1" containsInteger="1" minValue="40000" maxValue="720000"/>
    </cacheField>
    <cacheField name="Cost" numFmtId="0">
      <sharedItems containsSemiMixedTypes="0" containsString="0" containsNumber="1" containsInteger="1" minValue="20000" maxValue="576000"/>
    </cacheField>
    <cacheField name="profit" numFmtId="0">
      <sharedItems containsSemiMixedTypes="0" containsString="0" containsNumber="1" containsInteger="1" minValue="20000" maxValue="14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d v="2025-01-01T00:00:00"/>
    <x v="0"/>
    <x v="0"/>
    <s v="Laptop"/>
    <n v="10"/>
    <n v="600000"/>
    <n v="480000"/>
    <n v="120000"/>
  </r>
  <r>
    <d v="2025-01-02T00:00:00"/>
    <x v="1"/>
    <x v="0"/>
    <s v="Tablet"/>
    <n v="15"/>
    <n v="300000"/>
    <n v="210000"/>
    <n v="90000"/>
  </r>
  <r>
    <d v="2025-01-03T00:00:00"/>
    <x v="2"/>
    <x v="1"/>
    <s v="Office Chair"/>
    <n v="20"/>
    <n v="200000"/>
    <n v="140000"/>
    <n v="60000"/>
  </r>
  <r>
    <d v="2025-01-04T00:00:00"/>
    <x v="3"/>
    <x v="1"/>
    <s v="Desk"/>
    <n v="8"/>
    <n v="160000"/>
    <n v="120000"/>
    <n v="40000"/>
  </r>
  <r>
    <d v="2025-01-05T00:00:00"/>
    <x v="0"/>
    <x v="2"/>
    <s v="Printer Paper"/>
    <n v="50"/>
    <n v="50000"/>
    <n v="30000"/>
    <n v="20000"/>
  </r>
  <r>
    <d v="2025-01-06T00:00:00"/>
    <x v="1"/>
    <x v="0"/>
    <s v="Laptop"/>
    <n v="12"/>
    <n v="720000"/>
    <n v="576000"/>
    <n v="144000"/>
  </r>
  <r>
    <d v="2025-01-07T00:00:00"/>
    <x v="2"/>
    <x v="2"/>
    <s v="Pens"/>
    <n v="100"/>
    <n v="40000"/>
    <n v="20000"/>
    <n v="20000"/>
  </r>
  <r>
    <d v="2025-01-08T00:00:00"/>
    <x v="3"/>
    <x v="0"/>
    <s v="Monitor"/>
    <n v="14"/>
    <n v="280000"/>
    <n v="210000"/>
    <n v="70000"/>
  </r>
  <r>
    <d v="2025-01-09T00:00:00"/>
    <x v="0"/>
    <x v="1"/>
    <s v="Sofa"/>
    <n v="5"/>
    <n v="250000"/>
    <n v="200000"/>
    <n v="50000"/>
  </r>
  <r>
    <d v="2025-01-10T00:00:00"/>
    <x v="1"/>
    <x v="2"/>
    <s v="Notebooks"/>
    <n v="60"/>
    <n v="90000"/>
    <n v="54000"/>
    <n v="36000"/>
  </r>
  <r>
    <d v="2025-01-11T00:00:00"/>
    <x v="2"/>
    <x v="0"/>
    <s v="Keyboard"/>
    <n v="25"/>
    <n v="125000"/>
    <n v="90000"/>
    <n v="35000"/>
  </r>
  <r>
    <d v="2025-01-12T00:00:00"/>
    <x v="3"/>
    <x v="1"/>
    <s v="Cabinet"/>
    <n v="6"/>
    <n v="180000"/>
    <n v="135000"/>
    <n v="45000"/>
  </r>
  <r>
    <d v="2025-01-13T00:00:00"/>
    <x v="0"/>
    <x v="0"/>
    <s v="Mouse"/>
    <n v="40"/>
    <n v="80000"/>
    <n v="52000"/>
    <n v="28000"/>
  </r>
  <r>
    <d v="2025-01-14T00:00:00"/>
    <x v="1"/>
    <x v="1"/>
    <s v="Table"/>
    <n v="7"/>
    <n v="175000"/>
    <n v="140000"/>
    <n v="35000"/>
  </r>
  <r>
    <d v="2025-01-15T00:00:00"/>
    <x v="2"/>
    <x v="0"/>
    <s v="Laptop"/>
    <n v="9"/>
    <n v="540000"/>
    <n v="432000"/>
    <n v="108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F90530-B88B-40B6-B804-E2351B6573F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8">
    <pivotField numFmtId="14"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5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A04289-5072-42A2-8010-D325BF7C20F5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8">
    <pivotField numFmtId="14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7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7A893-3054-43CD-9855-977BA1E6B4DB}">
  <dimension ref="A1:B8"/>
  <sheetViews>
    <sheetView showGridLines="0" zoomScale="130" zoomScaleNormal="130" workbookViewId="0">
      <selection activeCell="O11" sqref="O11"/>
    </sheetView>
  </sheetViews>
  <sheetFormatPr defaultRowHeight="14.4" x14ac:dyDescent="0.3"/>
  <cols>
    <col min="1" max="1" width="12.5546875" bestFit="1" customWidth="1"/>
    <col min="2" max="2" width="19.21875" bestFit="1" customWidth="1"/>
  </cols>
  <sheetData>
    <row r="1" spans="1:2" ht="18" x14ac:dyDescent="0.35">
      <c r="A1" s="12" t="s">
        <v>36</v>
      </c>
    </row>
    <row r="3" spans="1:2" x14ac:dyDescent="0.3">
      <c r="A3" s="10" t="s">
        <v>33</v>
      </c>
      <c r="B3" s="5" t="s">
        <v>34</v>
      </c>
    </row>
    <row r="4" spans="1:2" x14ac:dyDescent="0.3">
      <c r="A4" s="11" t="s">
        <v>10</v>
      </c>
      <c r="B4" s="5">
        <v>1285000</v>
      </c>
    </row>
    <row r="5" spans="1:2" x14ac:dyDescent="0.3">
      <c r="A5" s="11" t="s">
        <v>12</v>
      </c>
      <c r="B5" s="5">
        <v>905000</v>
      </c>
    </row>
    <row r="6" spans="1:2" x14ac:dyDescent="0.3">
      <c r="A6" s="11" t="s">
        <v>15</v>
      </c>
      <c r="B6" s="5">
        <v>620000</v>
      </c>
    </row>
    <row r="7" spans="1:2" x14ac:dyDescent="0.3">
      <c r="A7" s="11" t="s">
        <v>7</v>
      </c>
      <c r="B7" s="5">
        <v>980000</v>
      </c>
    </row>
    <row r="8" spans="1:2" x14ac:dyDescent="0.3">
      <c r="A8" s="11" t="s">
        <v>32</v>
      </c>
      <c r="B8" s="5">
        <v>3790000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42CE0-89AC-462E-9E61-B625C6872302}">
  <dimension ref="A1:B7"/>
  <sheetViews>
    <sheetView showGridLines="0" tabSelected="1" zoomScale="145" zoomScaleNormal="145" workbookViewId="0">
      <selection activeCell="M13" sqref="M13"/>
    </sheetView>
  </sheetViews>
  <sheetFormatPr defaultRowHeight="14.4" x14ac:dyDescent="0.3"/>
  <cols>
    <col min="1" max="1" width="12.5546875" customWidth="1"/>
    <col min="2" max="2" width="12.109375" bestFit="1" customWidth="1"/>
  </cols>
  <sheetData>
    <row r="1" spans="1:2" x14ac:dyDescent="0.3">
      <c r="A1" t="s">
        <v>37</v>
      </c>
    </row>
    <row r="3" spans="1:2" x14ac:dyDescent="0.3">
      <c r="A3" s="10" t="s">
        <v>33</v>
      </c>
      <c r="B3" s="5" t="s">
        <v>35</v>
      </c>
    </row>
    <row r="4" spans="1:2" x14ac:dyDescent="0.3">
      <c r="A4" s="11" t="s">
        <v>8</v>
      </c>
      <c r="B4" s="5">
        <v>595000</v>
      </c>
    </row>
    <row r="5" spans="1:2" x14ac:dyDescent="0.3">
      <c r="A5" s="11" t="s">
        <v>13</v>
      </c>
      <c r="B5" s="5">
        <v>230000</v>
      </c>
    </row>
    <row r="6" spans="1:2" x14ac:dyDescent="0.3">
      <c r="A6" s="11" t="s">
        <v>17</v>
      </c>
      <c r="B6" s="5">
        <v>76000</v>
      </c>
    </row>
    <row r="7" spans="1:2" x14ac:dyDescent="0.3">
      <c r="A7" s="11" t="s">
        <v>32</v>
      </c>
      <c r="B7" s="5">
        <v>901000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2E9D-7912-44AD-8614-D783CB7146DC}">
  <dimension ref="A1:H16"/>
  <sheetViews>
    <sheetView showGridLines="0" zoomScale="115" zoomScaleNormal="115" workbookViewId="0">
      <selection activeCell="K12" sqref="K12"/>
    </sheetView>
  </sheetViews>
  <sheetFormatPr defaultRowHeight="14.4" x14ac:dyDescent="0.3"/>
  <cols>
    <col min="1" max="1" width="10.5546875" style="1" bestFit="1" customWidth="1"/>
    <col min="2" max="2" width="8.33203125" bestFit="1" customWidth="1"/>
    <col min="3" max="3" width="19.44140625" bestFit="1" customWidth="1"/>
    <col min="4" max="4" width="16.21875" bestFit="1" customWidth="1"/>
    <col min="5" max="5" width="11.5546875" bestFit="1" customWidth="1"/>
    <col min="6" max="6" width="15.6640625" bestFit="1" customWidth="1"/>
    <col min="7" max="8" width="7.21875" bestFit="1" customWidth="1"/>
  </cols>
  <sheetData>
    <row r="1" spans="1:8" ht="18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27</v>
      </c>
    </row>
    <row r="2" spans="1:8" x14ac:dyDescent="0.3">
      <c r="A2" s="4">
        <v>45658</v>
      </c>
      <c r="B2" s="5" t="s">
        <v>7</v>
      </c>
      <c r="C2" s="5" t="s">
        <v>8</v>
      </c>
      <c r="D2" s="5" t="s">
        <v>9</v>
      </c>
      <c r="E2" s="5">
        <v>10</v>
      </c>
      <c r="F2" s="5">
        <v>600000</v>
      </c>
      <c r="G2" s="5">
        <v>480000</v>
      </c>
      <c r="H2" s="5">
        <f>F2-G2</f>
        <v>120000</v>
      </c>
    </row>
    <row r="3" spans="1:8" x14ac:dyDescent="0.3">
      <c r="A3" s="4">
        <v>45659</v>
      </c>
      <c r="B3" s="5" t="s">
        <v>10</v>
      </c>
      <c r="C3" s="5" t="s">
        <v>8</v>
      </c>
      <c r="D3" s="5" t="s">
        <v>11</v>
      </c>
      <c r="E3" s="5">
        <v>15</v>
      </c>
      <c r="F3" s="5">
        <v>300000</v>
      </c>
      <c r="G3" s="5">
        <v>210000</v>
      </c>
      <c r="H3" s="5">
        <f t="shared" ref="H3:H16" si="0">F3-G3</f>
        <v>90000</v>
      </c>
    </row>
    <row r="4" spans="1:8" x14ac:dyDescent="0.3">
      <c r="A4" s="4">
        <v>45660</v>
      </c>
      <c r="B4" s="5" t="s">
        <v>12</v>
      </c>
      <c r="C4" s="5" t="s">
        <v>13</v>
      </c>
      <c r="D4" s="5" t="s">
        <v>14</v>
      </c>
      <c r="E4" s="5">
        <v>20</v>
      </c>
      <c r="F4" s="5">
        <v>200000</v>
      </c>
      <c r="G4" s="5">
        <v>140000</v>
      </c>
      <c r="H4" s="5">
        <f t="shared" si="0"/>
        <v>60000</v>
      </c>
    </row>
    <row r="5" spans="1:8" x14ac:dyDescent="0.3">
      <c r="A5" s="4">
        <v>45661</v>
      </c>
      <c r="B5" s="5" t="s">
        <v>15</v>
      </c>
      <c r="C5" s="5" t="s">
        <v>13</v>
      </c>
      <c r="D5" s="5" t="s">
        <v>16</v>
      </c>
      <c r="E5" s="5">
        <v>8</v>
      </c>
      <c r="F5" s="5">
        <v>160000</v>
      </c>
      <c r="G5" s="5">
        <v>120000</v>
      </c>
      <c r="H5" s="5">
        <f t="shared" si="0"/>
        <v>40000</v>
      </c>
    </row>
    <row r="6" spans="1:8" x14ac:dyDescent="0.3">
      <c r="A6" s="4">
        <v>45662</v>
      </c>
      <c r="B6" s="5" t="s">
        <v>7</v>
      </c>
      <c r="C6" s="5" t="s">
        <v>17</v>
      </c>
      <c r="D6" s="5" t="s">
        <v>18</v>
      </c>
      <c r="E6" s="5">
        <v>50</v>
      </c>
      <c r="F6" s="5">
        <v>50000</v>
      </c>
      <c r="G6" s="5">
        <v>30000</v>
      </c>
      <c r="H6" s="5">
        <f t="shared" si="0"/>
        <v>20000</v>
      </c>
    </row>
    <row r="7" spans="1:8" x14ac:dyDescent="0.3">
      <c r="A7" s="4">
        <v>45663</v>
      </c>
      <c r="B7" s="5" t="s">
        <v>10</v>
      </c>
      <c r="C7" s="5" t="s">
        <v>8</v>
      </c>
      <c r="D7" s="5" t="s">
        <v>9</v>
      </c>
      <c r="E7" s="5">
        <v>12</v>
      </c>
      <c r="F7" s="5">
        <v>720000</v>
      </c>
      <c r="G7" s="5">
        <v>576000</v>
      </c>
      <c r="H7" s="5">
        <f t="shared" si="0"/>
        <v>144000</v>
      </c>
    </row>
    <row r="8" spans="1:8" x14ac:dyDescent="0.3">
      <c r="A8" s="4">
        <v>45664</v>
      </c>
      <c r="B8" s="5" t="s">
        <v>12</v>
      </c>
      <c r="C8" s="5" t="s">
        <v>17</v>
      </c>
      <c r="D8" s="5" t="s">
        <v>19</v>
      </c>
      <c r="E8" s="5">
        <v>100</v>
      </c>
      <c r="F8" s="5">
        <v>40000</v>
      </c>
      <c r="G8" s="5">
        <v>20000</v>
      </c>
      <c r="H8" s="5">
        <f t="shared" si="0"/>
        <v>20000</v>
      </c>
    </row>
    <row r="9" spans="1:8" x14ac:dyDescent="0.3">
      <c r="A9" s="4">
        <v>45665</v>
      </c>
      <c r="B9" s="5" t="s">
        <v>15</v>
      </c>
      <c r="C9" s="5" t="s">
        <v>8</v>
      </c>
      <c r="D9" s="5" t="s">
        <v>20</v>
      </c>
      <c r="E9" s="5">
        <v>14</v>
      </c>
      <c r="F9" s="5">
        <v>280000</v>
      </c>
      <c r="G9" s="5">
        <v>210000</v>
      </c>
      <c r="H9" s="5">
        <f t="shared" si="0"/>
        <v>70000</v>
      </c>
    </row>
    <row r="10" spans="1:8" x14ac:dyDescent="0.3">
      <c r="A10" s="4">
        <v>45666</v>
      </c>
      <c r="B10" s="5" t="s">
        <v>7</v>
      </c>
      <c r="C10" s="5" t="s">
        <v>13</v>
      </c>
      <c r="D10" s="5" t="s">
        <v>21</v>
      </c>
      <c r="E10" s="5">
        <v>5</v>
      </c>
      <c r="F10" s="5">
        <v>250000</v>
      </c>
      <c r="G10" s="5">
        <v>200000</v>
      </c>
      <c r="H10" s="5">
        <f t="shared" si="0"/>
        <v>50000</v>
      </c>
    </row>
    <row r="11" spans="1:8" x14ac:dyDescent="0.3">
      <c r="A11" s="4">
        <v>45667</v>
      </c>
      <c r="B11" s="5" t="s">
        <v>10</v>
      </c>
      <c r="C11" s="5" t="s">
        <v>17</v>
      </c>
      <c r="D11" s="5" t="s">
        <v>22</v>
      </c>
      <c r="E11" s="5">
        <v>60</v>
      </c>
      <c r="F11" s="5">
        <v>90000</v>
      </c>
      <c r="G11" s="5">
        <v>54000</v>
      </c>
      <c r="H11" s="5">
        <f t="shared" si="0"/>
        <v>36000</v>
      </c>
    </row>
    <row r="12" spans="1:8" x14ac:dyDescent="0.3">
      <c r="A12" s="4">
        <v>45668</v>
      </c>
      <c r="B12" s="5" t="s">
        <v>12</v>
      </c>
      <c r="C12" s="5" t="s">
        <v>8</v>
      </c>
      <c r="D12" s="5" t="s">
        <v>23</v>
      </c>
      <c r="E12" s="5">
        <v>25</v>
      </c>
      <c r="F12" s="5">
        <v>125000</v>
      </c>
      <c r="G12" s="5">
        <v>90000</v>
      </c>
      <c r="H12" s="5">
        <f t="shared" si="0"/>
        <v>35000</v>
      </c>
    </row>
    <row r="13" spans="1:8" x14ac:dyDescent="0.3">
      <c r="A13" s="4">
        <v>45669</v>
      </c>
      <c r="B13" s="5" t="s">
        <v>15</v>
      </c>
      <c r="C13" s="5" t="s">
        <v>13</v>
      </c>
      <c r="D13" s="5" t="s">
        <v>24</v>
      </c>
      <c r="E13" s="5">
        <v>6</v>
      </c>
      <c r="F13" s="5">
        <v>180000</v>
      </c>
      <c r="G13" s="5">
        <v>135000</v>
      </c>
      <c r="H13" s="5">
        <f t="shared" si="0"/>
        <v>45000</v>
      </c>
    </row>
    <row r="14" spans="1:8" x14ac:dyDescent="0.3">
      <c r="A14" s="4">
        <v>45670</v>
      </c>
      <c r="B14" s="5" t="s">
        <v>7</v>
      </c>
      <c r="C14" s="5" t="s">
        <v>8</v>
      </c>
      <c r="D14" s="5" t="s">
        <v>25</v>
      </c>
      <c r="E14" s="5">
        <v>40</v>
      </c>
      <c r="F14" s="5">
        <v>80000</v>
      </c>
      <c r="G14" s="5">
        <v>52000</v>
      </c>
      <c r="H14" s="5">
        <f t="shared" si="0"/>
        <v>28000</v>
      </c>
    </row>
    <row r="15" spans="1:8" x14ac:dyDescent="0.3">
      <c r="A15" s="4">
        <v>45671</v>
      </c>
      <c r="B15" s="5" t="s">
        <v>10</v>
      </c>
      <c r="C15" s="5" t="s">
        <v>13</v>
      </c>
      <c r="D15" s="5" t="s">
        <v>26</v>
      </c>
      <c r="E15" s="5">
        <v>7</v>
      </c>
      <c r="F15" s="5">
        <v>175000</v>
      </c>
      <c r="G15" s="5">
        <v>140000</v>
      </c>
      <c r="H15" s="5">
        <f t="shared" si="0"/>
        <v>35000</v>
      </c>
    </row>
    <row r="16" spans="1:8" x14ac:dyDescent="0.3">
      <c r="A16" s="4">
        <v>45672</v>
      </c>
      <c r="B16" s="5" t="s">
        <v>12</v>
      </c>
      <c r="C16" s="5" t="s">
        <v>8</v>
      </c>
      <c r="D16" s="5" t="s">
        <v>9</v>
      </c>
      <c r="E16" s="5">
        <v>9</v>
      </c>
      <c r="F16" s="5">
        <v>540000</v>
      </c>
      <c r="G16" s="5">
        <v>432000</v>
      </c>
      <c r="H16" s="5">
        <f t="shared" si="0"/>
        <v>108000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86ECC-6E5B-4A8A-900A-C8EBB6097B18}">
  <dimension ref="A2:B10"/>
  <sheetViews>
    <sheetView showGridLines="0" zoomScale="160" zoomScaleNormal="160" workbookViewId="0">
      <selection activeCell="I13" sqref="I13"/>
    </sheetView>
  </sheetViews>
  <sheetFormatPr defaultRowHeight="14.4" x14ac:dyDescent="0.3"/>
  <cols>
    <col min="1" max="1" width="13.33203125" customWidth="1"/>
  </cols>
  <sheetData>
    <row r="2" spans="1:2" x14ac:dyDescent="0.3">
      <c r="A2" s="6" t="s">
        <v>28</v>
      </c>
      <c r="B2" s="5">
        <f>SUM(Raw_Data!F:F)</f>
        <v>3790000</v>
      </c>
    </row>
    <row r="3" spans="1:2" x14ac:dyDescent="0.3">
      <c r="A3" s="7" t="s">
        <v>29</v>
      </c>
      <c r="B3" s="5">
        <f>SUM(Raw_Data!H:H)</f>
        <v>901000</v>
      </c>
    </row>
    <row r="4" spans="1:2" x14ac:dyDescent="0.3">
      <c r="A4" s="8" t="s">
        <v>30</v>
      </c>
      <c r="B4" s="5">
        <f>AVERAGE(Raw_Data!F:F)</f>
        <v>252666.66666666666</v>
      </c>
    </row>
    <row r="6" spans="1:2" x14ac:dyDescent="0.3">
      <c r="A6" s="9" t="s">
        <v>1</v>
      </c>
      <c r="B6" s="9" t="s">
        <v>31</v>
      </c>
    </row>
    <row r="7" spans="1:2" x14ac:dyDescent="0.3">
      <c r="A7" s="5" t="s">
        <v>7</v>
      </c>
      <c r="B7" s="5">
        <f>SUMIFS(Raw_Data!F:F, Raw_Data!B:B, A7)</f>
        <v>980000</v>
      </c>
    </row>
    <row r="8" spans="1:2" x14ac:dyDescent="0.3">
      <c r="A8" s="5" t="s">
        <v>10</v>
      </c>
      <c r="B8" s="5">
        <f>SUMIFS(Raw_Data!F:F, Raw_Data!B:B, A8)</f>
        <v>1285000</v>
      </c>
    </row>
    <row r="9" spans="1:2" x14ac:dyDescent="0.3">
      <c r="A9" s="5" t="s">
        <v>12</v>
      </c>
      <c r="B9" s="5">
        <f>SUMIFS(Raw_Data!F:F, Raw_Data!B:B, A9)</f>
        <v>905000</v>
      </c>
    </row>
    <row r="10" spans="1:2" x14ac:dyDescent="0.3">
      <c r="A10" s="5" t="s">
        <v>15</v>
      </c>
      <c r="B10" s="5">
        <f>SUMIFS(Raw_Data!F:F, Raw_Data!B:B, A10)</f>
        <v>620000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Pivot_Data</vt:lpstr>
      <vt:lpstr>Pivat_Data_1</vt:lpstr>
      <vt:lpstr>Raw_Data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shrinivas kumari</dc:creator>
  <cp:lastModifiedBy>shrinivas kumari</cp:lastModifiedBy>
  <dcterms:created xsi:type="dcterms:W3CDTF">2026-01-18T12:32:02Z</dcterms:created>
  <dcterms:modified xsi:type="dcterms:W3CDTF">2026-01-18T17:03:27Z</dcterms:modified>
</cp:coreProperties>
</file>